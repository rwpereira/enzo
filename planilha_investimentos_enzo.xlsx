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Mensal" sheetId="1" state="visible" r:id="rId1"/>
    <sheet xmlns:r="http://schemas.openxmlformats.org/officeDocument/2006/relationships" name="Carteira Simulada" sheetId="2" state="visible" r:id="rId2"/>
    <sheet xmlns:r="http://schemas.openxmlformats.org/officeDocument/2006/relationships" name="Minhas Metas" sheetId="3" state="visible" r:id="rId3"/>
    <sheet xmlns:r="http://schemas.openxmlformats.org/officeDocument/2006/relationships" name="Diário de Aprendizado" sheetId="4" state="visible" r:id="rId4"/>
    <sheet xmlns:r="http://schemas.openxmlformats.org/officeDocument/2006/relationships" name="Checklist F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2E7D32"/>
      <sz val="16"/>
    </font>
    <font>
      <i val="1"/>
      <color rgb="00666666"/>
    </font>
    <font>
      <b val="1"/>
      <color rgb="00FFFFFF"/>
      <sz val="12"/>
    </font>
    <font>
      <b val="1"/>
      <color rgb="001565C0"/>
      <sz val="12"/>
    </font>
    <font>
      <b val="1"/>
      <color rgb="002E7D32"/>
      <sz val="11"/>
    </font>
    <font>
      <b val="1"/>
      <color rgb="002E7D32"/>
      <sz val="12"/>
    </font>
    <font>
      <i val="1"/>
      <color rgb="00E65100"/>
      <sz val="11"/>
    </font>
  </fonts>
  <fills count="11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BBDEFB"/>
        <bgColor rgb="00BBDEFB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7B1FA2"/>
        <bgColor rgb="007B1FA2"/>
      </patternFill>
    </fill>
    <fill>
      <patternFill patternType="solid">
        <fgColor rgb="00E1BEE7"/>
        <bgColor rgb="00E1BEE7"/>
      </patternFill>
    </fill>
    <fill>
      <patternFill patternType="solid">
        <fgColor rgb="001565C0"/>
        <bgColor rgb="001565C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10" borderId="0" pivotButton="0" quotePrefix="0" xfId="0"/>
    <xf numFmtId="0" fontId="4" fillId="6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CONTROLE DE INVESTIMENTOS DO ENZO</t>
        </is>
      </c>
    </row>
    <row r="2">
      <c r="A2" s="2" t="inlineStr">
        <is>
          <t>Acompanhe seus aportes mensais e veja seu patrimônio crescer!</t>
        </is>
      </c>
    </row>
    <row r="4">
      <c r="A4" s="3" t="inlineStr">
        <is>
          <t>Mês</t>
        </is>
      </c>
      <c r="B4" s="3" t="inlineStr">
        <is>
          <t>Aporte (R$)</t>
        </is>
      </c>
      <c r="C4" s="3" t="inlineStr">
        <is>
          <t>Tipo</t>
        </is>
      </c>
      <c r="D4" s="3" t="inlineStr">
        <is>
          <t>Valor Anterior</t>
        </is>
      </c>
      <c r="E4" s="3" t="inlineStr">
        <is>
          <t>Rendimento (%)</t>
        </is>
      </c>
      <c r="F4" s="3" t="inlineStr">
        <is>
          <t>Valor Final</t>
        </is>
      </c>
      <c r="G4" s="3" t="inlineStr">
        <is>
          <t>Ganho no Mês</t>
        </is>
      </c>
      <c r="H4" s="3" t="inlineStr">
        <is>
          <t>Total Acumulado</t>
        </is>
      </c>
    </row>
    <row r="5">
      <c r="A5" s="4" t="inlineStr">
        <is>
          <t>Janeiro/2026</t>
        </is>
      </c>
      <c r="B5" s="5" t="n">
        <v>50</v>
      </c>
      <c r="C5" s="4" t="inlineStr">
        <is>
          <t>Tesouro Selic</t>
        </is>
      </c>
      <c r="D5" s="5" t="n">
        <v>0</v>
      </c>
      <c r="E5" s="6" t="n">
        <v>0.85</v>
      </c>
      <c r="F5" s="5">
        <f>IF(B5="",IF(D5="","",D5*(1+E5/100)),D5+B5+D5*E5/100)</f>
        <v/>
      </c>
      <c r="G5" s="5">
        <f>IF(F5="","",F5-D5-IF(B5="",0,B5))</f>
        <v/>
      </c>
      <c r="H5" s="5">
        <f>IF(F5="","",F5)</f>
        <v/>
      </c>
    </row>
    <row r="6">
      <c r="A6" s="7" t="inlineStr">
        <is>
          <t>Fevereiro/2026</t>
        </is>
      </c>
      <c r="B6" s="8" t="inlineStr"/>
      <c r="C6" s="7" t="inlineStr"/>
      <c r="D6" s="8">
        <f>F5</f>
        <v/>
      </c>
      <c r="E6" s="9" t="inlineStr"/>
      <c r="F6" s="8">
        <f>IF(B6="",IF(D6="","",D6*(1+E6/100)),D6+B6+D6*E6/100)</f>
        <v/>
      </c>
      <c r="G6" s="8">
        <f>IF(F6="","",F6-D6-IF(B6="",0,B6))</f>
        <v/>
      </c>
      <c r="H6" s="8">
        <f>IF(F6="","",F6)</f>
        <v/>
      </c>
    </row>
    <row r="7">
      <c r="A7" s="4" t="inlineStr">
        <is>
          <t>Março/2026</t>
        </is>
      </c>
      <c r="B7" s="5" t="inlineStr"/>
      <c r="C7" s="4" t="inlineStr"/>
      <c r="D7" s="5">
        <f>F6</f>
        <v/>
      </c>
      <c r="E7" s="6" t="inlineStr"/>
      <c r="F7" s="5">
        <f>IF(B7="",IF(D7="","",D7*(1+E7/100)),D7+B7+D7*E7/100)</f>
        <v/>
      </c>
      <c r="G7" s="5">
        <f>IF(F7="","",F7-D7-IF(B7="",0,B7))</f>
        <v/>
      </c>
      <c r="H7" s="5">
        <f>IF(F7="","",F7)</f>
        <v/>
      </c>
    </row>
    <row r="8">
      <c r="A8" s="7" t="inlineStr">
        <is>
          <t>Abril/2026</t>
        </is>
      </c>
      <c r="B8" s="8" t="inlineStr"/>
      <c r="C8" s="7" t="inlineStr"/>
      <c r="D8" s="8">
        <f>F7</f>
        <v/>
      </c>
      <c r="E8" s="9" t="inlineStr"/>
      <c r="F8" s="8">
        <f>IF(B8="",IF(D8="","",D8*(1+E8/100)),D8+B8+D8*E8/100)</f>
        <v/>
      </c>
      <c r="G8" s="8">
        <f>IF(F8="","",F8-D8-IF(B8="",0,B8))</f>
        <v/>
      </c>
      <c r="H8" s="8">
        <f>IF(F8="","",F8)</f>
        <v/>
      </c>
    </row>
    <row r="9">
      <c r="A9" s="4" t="inlineStr">
        <is>
          <t>Maio/2026</t>
        </is>
      </c>
      <c r="B9" s="5" t="inlineStr"/>
      <c r="C9" s="4" t="inlineStr"/>
      <c r="D9" s="5">
        <f>F8</f>
        <v/>
      </c>
      <c r="E9" s="6" t="inlineStr"/>
      <c r="F9" s="5">
        <f>IF(B9="",IF(D9="","",D9*(1+E9/100)),D9+B9+D9*E9/100)</f>
        <v/>
      </c>
      <c r="G9" s="5">
        <f>IF(F9="","",F9-D9-IF(B9="",0,B9))</f>
        <v/>
      </c>
      <c r="H9" s="5">
        <f>IF(F9="","",F9)</f>
        <v/>
      </c>
    </row>
    <row r="10">
      <c r="A10" s="7" t="inlineStr">
        <is>
          <t>Junho/2026</t>
        </is>
      </c>
      <c r="B10" s="8" t="inlineStr"/>
      <c r="C10" s="7" t="inlineStr"/>
      <c r="D10" s="8">
        <f>F9</f>
        <v/>
      </c>
      <c r="E10" s="9" t="inlineStr"/>
      <c r="F10" s="8">
        <f>IF(B10="",IF(D10="","",D10*(1+E10/100)),D10+B10+D10*E10/100)</f>
        <v/>
      </c>
      <c r="G10" s="8">
        <f>IF(F10="","",F10-D10-IF(B10="",0,B10))</f>
        <v/>
      </c>
      <c r="H10" s="8">
        <f>IF(F10="","",F10)</f>
        <v/>
      </c>
    </row>
    <row r="11">
      <c r="A11" s="4" t="inlineStr">
        <is>
          <t>Julho/2026</t>
        </is>
      </c>
      <c r="B11" s="5" t="inlineStr"/>
      <c r="C11" s="4" t="inlineStr"/>
      <c r="D11" s="5">
        <f>F10</f>
        <v/>
      </c>
      <c r="E11" s="6" t="inlineStr"/>
      <c r="F11" s="5">
        <f>IF(B11="",IF(D11="","",D11*(1+E11/100)),D11+B11+D11*E11/100)</f>
        <v/>
      </c>
      <c r="G11" s="5">
        <f>IF(F11="","",F11-D11-IF(B11="",0,B11))</f>
        <v/>
      </c>
      <c r="H11" s="5">
        <f>IF(F11="","",F11)</f>
        <v/>
      </c>
    </row>
    <row r="12">
      <c r="A12" s="7" t="inlineStr">
        <is>
          <t>Agosto/2026</t>
        </is>
      </c>
      <c r="B12" s="8" t="inlineStr"/>
      <c r="C12" s="7" t="inlineStr"/>
      <c r="D12" s="8">
        <f>F11</f>
        <v/>
      </c>
      <c r="E12" s="9" t="inlineStr"/>
      <c r="F12" s="8">
        <f>IF(B12="",IF(D12="","",D12*(1+E12/100)),D12+B12+D12*E12/100)</f>
        <v/>
      </c>
      <c r="G12" s="8">
        <f>IF(F12="","",F12-D12-IF(B12="",0,B12))</f>
        <v/>
      </c>
      <c r="H12" s="8">
        <f>IF(F12="","",F12)</f>
        <v/>
      </c>
    </row>
    <row r="13">
      <c r="A13" s="4" t="inlineStr">
        <is>
          <t>Setembro/2026</t>
        </is>
      </c>
      <c r="B13" s="5" t="inlineStr"/>
      <c r="C13" s="4" t="inlineStr"/>
      <c r="D13" s="5">
        <f>F12</f>
        <v/>
      </c>
      <c r="E13" s="6" t="inlineStr"/>
      <c r="F13" s="5">
        <f>IF(B13="",IF(D13="","",D13*(1+E13/100)),D13+B13+D13*E13/100)</f>
        <v/>
      </c>
      <c r="G13" s="5">
        <f>IF(F13="","",F13-D13-IF(B13="",0,B13))</f>
        <v/>
      </c>
      <c r="H13" s="5">
        <f>IF(F13="","",F13)</f>
        <v/>
      </c>
    </row>
    <row r="14">
      <c r="A14" s="7" t="inlineStr">
        <is>
          <t>Outubro/2026</t>
        </is>
      </c>
      <c r="B14" s="8" t="inlineStr"/>
      <c r="C14" s="7" t="inlineStr"/>
      <c r="D14" s="8">
        <f>F13</f>
        <v/>
      </c>
      <c r="E14" s="9" t="inlineStr"/>
      <c r="F14" s="8">
        <f>IF(B14="",IF(D14="","",D14*(1+E14/100)),D14+B14+D14*E14/100)</f>
        <v/>
      </c>
      <c r="G14" s="8">
        <f>IF(F14="","",F14-D14-IF(B14="",0,B14))</f>
        <v/>
      </c>
      <c r="H14" s="8">
        <f>IF(F14="","",F14)</f>
        <v/>
      </c>
    </row>
    <row r="15">
      <c r="A15" s="4" t="inlineStr">
        <is>
          <t>Novembro/2026</t>
        </is>
      </c>
      <c r="B15" s="5" t="inlineStr"/>
      <c r="C15" s="4" t="inlineStr"/>
      <c r="D15" s="5">
        <f>F14</f>
        <v/>
      </c>
      <c r="E15" s="6" t="inlineStr"/>
      <c r="F15" s="5">
        <f>IF(B15="",IF(D15="","",D15*(1+E15/100)),D15+B15+D15*E15/100)</f>
        <v/>
      </c>
      <c r="G15" s="5">
        <f>IF(F15="","",F15-D15-IF(B15="",0,B15))</f>
        <v/>
      </c>
      <c r="H15" s="5">
        <f>IF(F15="","",F15)</f>
        <v/>
      </c>
    </row>
    <row r="16">
      <c r="A16" s="7" t="inlineStr">
        <is>
          <t>Dezembro/2026</t>
        </is>
      </c>
      <c r="B16" s="8" t="inlineStr"/>
      <c r="C16" s="7" t="inlineStr"/>
      <c r="D16" s="8">
        <f>F15</f>
        <v/>
      </c>
      <c r="E16" s="9" t="inlineStr"/>
      <c r="F16" s="8">
        <f>IF(B16="",IF(D16="","",D16*(1+E16/100)),D16+B16+D16*E16/100)</f>
        <v/>
      </c>
      <c r="G16" s="8">
        <f>IF(F16="","",F16-D16-IF(B16="",0,B16))</f>
        <v/>
      </c>
      <c r="H16" s="8">
        <f>IF(F16="","",F16)</f>
        <v/>
      </c>
    </row>
    <row r="18">
      <c r="A18" s="10" t="inlineStr">
        <is>
          <t>RESUMO</t>
        </is>
      </c>
    </row>
    <row r="19">
      <c r="A19" t="inlineStr">
        <is>
          <t>Total Investido:</t>
        </is>
      </c>
      <c r="B19" s="11">
        <f>SUM(B5:B16)</f>
        <v/>
      </c>
    </row>
    <row r="20">
      <c r="A20" t="inlineStr">
        <is>
          <t>Patrimônio Atual:</t>
        </is>
      </c>
      <c r="B20" s="11">
        <f>MAX(H5:H16)</f>
        <v/>
      </c>
    </row>
    <row r="21">
      <c r="A21" t="inlineStr">
        <is>
          <t>Lucro Total:</t>
        </is>
      </c>
      <c r="B21" s="12">
        <f>B20-B19</f>
        <v/>
      </c>
    </row>
  </sheetData>
  <mergeCells count="3">
    <mergeCell ref="A18:B1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4" customWidth="1" min="4" max="4"/>
    <col width="14" customWidth="1" min="5" max="5"/>
    <col width="12" customWidth="1" min="6" max="6"/>
    <col width="35" customWidth="1" min="7" max="7"/>
  </cols>
  <sheetData>
    <row r="1">
      <c r="A1" s="1" t="inlineStr">
        <is>
          <t>CARTEIRA VIRTUAL - SIMULAÇÃO DE AÇÕES</t>
        </is>
      </c>
    </row>
    <row r="2">
      <c r="A2" s="2" t="inlineStr">
        <is>
          <t>Anote aqui as ações que você está acompanhando (sem dinheiro real!)</t>
        </is>
      </c>
    </row>
    <row r="4">
      <c r="A4" s="13" t="inlineStr">
        <is>
          <t>Código</t>
        </is>
      </c>
      <c r="B4" s="13" t="inlineStr">
        <is>
          <t>Empresa</t>
        </is>
      </c>
      <c r="C4" s="13" t="inlineStr">
        <is>
          <t>Data Compra</t>
        </is>
      </c>
      <c r="D4" s="13" t="inlineStr">
        <is>
          <t>Preço Compra</t>
        </is>
      </c>
      <c r="E4" s="13" t="inlineStr">
        <is>
          <t>Preço Atual</t>
        </is>
      </c>
      <c r="F4" s="13" t="inlineStr">
        <is>
          <t>Variação %</t>
        </is>
      </c>
      <c r="G4" s="13" t="inlineStr">
        <is>
          <t>Por que escolhi?</t>
        </is>
      </c>
    </row>
    <row r="5">
      <c r="A5" s="4" t="inlineStr">
        <is>
          <t>GOGL34</t>
        </is>
      </c>
      <c r="B5" s="4" t="inlineStr">
        <is>
          <t>Google (Alphabet)</t>
        </is>
      </c>
      <c r="C5" s="4" t="inlineStr"/>
      <c r="D5" s="5" t="inlineStr"/>
      <c r="E5" s="5" t="inlineStr"/>
      <c r="F5" s="6">
        <f>IF(OR(D5="",E5=""),"",(E5-D5)/D5)</f>
        <v/>
      </c>
      <c r="G5" s="14" t="inlineStr"/>
    </row>
    <row r="6">
      <c r="A6" s="15" t="inlineStr">
        <is>
          <t>AAPL34</t>
        </is>
      </c>
      <c r="B6" s="15" t="inlineStr">
        <is>
          <t>Apple</t>
        </is>
      </c>
      <c r="C6" s="15" t="inlineStr"/>
      <c r="D6" s="16" t="inlineStr"/>
      <c r="E6" s="16" t="inlineStr"/>
      <c r="F6" s="17">
        <f>IF(OR(D6="",E6=""),"",(E6-D6)/D6)</f>
        <v/>
      </c>
      <c r="G6" s="18" t="inlineStr"/>
    </row>
    <row r="7">
      <c r="A7" s="4" t="inlineStr">
        <is>
          <t>M1TA34</t>
        </is>
      </c>
      <c r="B7" s="4" t="inlineStr">
        <is>
          <t>Meta (Facebook/Instagram)</t>
        </is>
      </c>
      <c r="C7" s="4" t="inlineStr"/>
      <c r="D7" s="5" t="inlineStr"/>
      <c r="E7" s="5" t="inlineStr"/>
      <c r="F7" s="6">
        <f>IF(OR(D7="",E7=""),"",(E7-D7)/D7)</f>
        <v/>
      </c>
      <c r="G7" s="14" t="inlineStr"/>
    </row>
    <row r="8">
      <c r="A8" s="15" t="inlineStr">
        <is>
          <t>MGLU3</t>
        </is>
      </c>
      <c r="B8" s="15" t="inlineStr">
        <is>
          <t>Magazine Luiza</t>
        </is>
      </c>
      <c r="C8" s="15" t="inlineStr"/>
      <c r="D8" s="16" t="inlineStr"/>
      <c r="E8" s="16" t="inlineStr"/>
      <c r="F8" s="17">
        <f>IF(OR(D8="",E8=""),"",(E8-D8)/D8)</f>
        <v/>
      </c>
      <c r="G8" s="18" t="inlineStr"/>
    </row>
    <row r="9">
      <c r="A9" s="4" t="inlineStr">
        <is>
          <t>PETR4</t>
        </is>
      </c>
      <c r="B9" s="4" t="inlineStr">
        <is>
          <t>Petrobras</t>
        </is>
      </c>
      <c r="C9" s="4" t="inlineStr"/>
      <c r="D9" s="5" t="inlineStr"/>
      <c r="E9" s="5" t="inlineStr"/>
      <c r="F9" s="6">
        <f>IF(OR(D9="",E9=""),"",(E9-D9)/D9)</f>
        <v/>
      </c>
      <c r="G9" s="14" t="inlineStr"/>
    </row>
    <row r="10">
      <c r="A10" s="15" t="inlineStr"/>
      <c r="B10" s="15" t="inlineStr"/>
      <c r="C10" s="15" t="inlineStr"/>
      <c r="D10" s="16" t="inlineStr"/>
      <c r="E10" s="16" t="inlineStr"/>
      <c r="F10" s="17">
        <f>IF(OR(D10="",E10=""),"",(E10-D10)/D10)</f>
        <v/>
      </c>
      <c r="G10" s="18" t="inlineStr"/>
    </row>
    <row r="11">
      <c r="A11" s="4" t="inlineStr"/>
      <c r="B11" s="4" t="inlineStr"/>
      <c r="C11" s="4" t="inlineStr"/>
      <c r="D11" s="5" t="inlineStr"/>
      <c r="E11" s="5" t="inlineStr"/>
      <c r="F11" s="6">
        <f>IF(OR(D11="",E11=""),"",(E11-D11)/D11)</f>
        <v/>
      </c>
      <c r="G11" s="14" t="inlineStr"/>
    </row>
    <row r="12">
      <c r="A12" s="15" t="inlineStr"/>
      <c r="B12" s="15" t="inlineStr"/>
      <c r="C12" s="15" t="inlineStr"/>
      <c r="D12" s="16" t="inlineStr"/>
      <c r="E12" s="16" t="inlineStr"/>
      <c r="F12" s="17">
        <f>IF(OR(D12="",E12=""),"",(E12-D12)/D12)</f>
        <v/>
      </c>
      <c r="G12" s="18" t="inlineStr"/>
    </row>
    <row r="13">
      <c r="A13" s="4" t="inlineStr"/>
      <c r="B13" s="4" t="inlineStr"/>
      <c r="C13" s="4" t="inlineStr"/>
      <c r="D13" s="5" t="inlineStr"/>
      <c r="E13" s="5" t="inlineStr"/>
      <c r="F13" s="6">
        <f>IF(OR(D13="",E13=""),"",(E13-D13)/D13)</f>
        <v/>
      </c>
      <c r="G13" s="14" t="inlineStr"/>
    </row>
    <row r="14">
      <c r="A14" s="15" t="inlineStr"/>
      <c r="B14" s="15" t="inlineStr"/>
      <c r="C14" s="15" t="inlineStr"/>
      <c r="D14" s="16" t="inlineStr"/>
      <c r="E14" s="16" t="inlineStr"/>
      <c r="F14" s="17">
        <f>IF(OR(D14="",E14=""),"",(E14-D14)/D14)</f>
        <v/>
      </c>
      <c r="G14" s="18" t="inlineStr"/>
    </row>
    <row r="16">
      <c r="A16" s="19" t="inlineStr">
        <is>
          <t>💡 DICA: Use o site statusinvest.com.br para ver os preços atuais das ações!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MINHAS METAS DE INVESTIMENTO</t>
        </is>
      </c>
    </row>
    <row r="3">
      <c r="A3" s="20" t="inlineStr">
        <is>
          <t>Meta</t>
        </is>
      </c>
      <c r="B3" s="20" t="inlineStr">
        <is>
          <t>Valor Necessário</t>
        </is>
      </c>
      <c r="C3" s="20" t="inlineStr">
        <is>
          <t>Prazo</t>
        </is>
      </c>
      <c r="D3" s="20" t="inlineStr">
        <is>
          <t>Quanto juntar/mês</t>
        </is>
      </c>
      <c r="E3" s="20" t="inlineStr">
        <is>
          <t>Status</t>
        </is>
      </c>
    </row>
    <row r="4">
      <c r="A4" s="4" t="inlineStr">
        <is>
          <t>Primeiro videogame</t>
        </is>
      </c>
      <c r="B4" s="5" t="n">
        <v>2500</v>
      </c>
      <c r="C4" s="4" t="inlineStr">
        <is>
          <t>2 anos</t>
        </is>
      </c>
      <c r="D4" s="5">
        <f>B4/24</f>
        <v/>
      </c>
      <c r="E4" s="4" t="inlineStr">
        <is>
          <t>🎯 Em andamento</t>
        </is>
      </c>
    </row>
    <row r="5">
      <c r="A5" s="21" t="inlineStr">
        <is>
          <t>Viagem com a família</t>
        </is>
      </c>
      <c r="B5" s="22" t="n">
        <v>5000</v>
      </c>
      <c r="C5" s="21" t="inlineStr">
        <is>
          <t>4 anos</t>
        </is>
      </c>
      <c r="D5" s="22">
        <f>B5/48</f>
        <v/>
      </c>
      <c r="E5" s="21" t="inlineStr">
        <is>
          <t>📝 Planejado</t>
        </is>
      </c>
    </row>
    <row r="6">
      <c r="A6" s="4" t="inlineStr">
        <is>
          <t>Faculdade</t>
        </is>
      </c>
      <c r="B6" s="5" t="n">
        <v>50000</v>
      </c>
      <c r="C6" s="4" t="inlineStr">
        <is>
          <t>8 anos</t>
        </is>
      </c>
      <c r="D6" s="5">
        <f>B6/96</f>
        <v/>
      </c>
      <c r="E6" s="4" t="inlineStr">
        <is>
          <t>🌟 Sonho grande</t>
        </is>
      </c>
    </row>
    <row r="7">
      <c r="A7" s="21" t="inlineStr"/>
      <c r="B7" s="22" t="inlineStr"/>
      <c r="C7" s="21" t="inlineStr"/>
      <c r="D7" s="22" t="inlineStr"/>
      <c r="E7" s="21" t="inlineStr"/>
    </row>
    <row r="8">
      <c r="A8" s="4" t="inlineStr"/>
      <c r="B8" s="5" t="inlineStr"/>
      <c r="C8" s="4" t="inlineStr"/>
      <c r="D8" s="5" t="inlineStr"/>
      <c r="E8" s="4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DIÁRIO DO INVESTIDOR MIRIM</t>
        </is>
      </c>
    </row>
    <row r="2">
      <c r="A2" s="2" t="inlineStr">
        <is>
          <t>Anote tudo que você aprender sobre investimentos!</t>
        </is>
      </c>
    </row>
    <row r="4">
      <c r="A4" s="23" t="inlineStr">
        <is>
          <t>Data</t>
        </is>
      </c>
      <c r="B4" s="23" t="inlineStr">
        <is>
          <t>O que estudei</t>
        </is>
      </c>
      <c r="C4" s="23" t="inlineStr">
        <is>
          <t>O que aprendi</t>
        </is>
      </c>
      <c r="D4" s="23" t="inlineStr">
        <is>
          <t>Dúvidas</t>
        </is>
      </c>
    </row>
    <row r="5" ht="35" customHeight="1">
      <c r="A5" s="14" t="inlineStr"/>
      <c r="B5" s="14" t="inlineStr"/>
      <c r="C5" s="14" t="inlineStr"/>
      <c r="D5" s="14" t="inlineStr"/>
    </row>
    <row r="6" ht="35" customHeight="1">
      <c r="A6" s="24" t="inlineStr"/>
      <c r="B6" s="24" t="inlineStr"/>
      <c r="C6" s="24" t="inlineStr"/>
      <c r="D6" s="24" t="inlineStr"/>
    </row>
    <row r="7" ht="35" customHeight="1">
      <c r="A7" s="14" t="inlineStr"/>
      <c r="B7" s="14" t="inlineStr"/>
      <c r="C7" s="14" t="inlineStr"/>
      <c r="D7" s="14" t="inlineStr"/>
    </row>
    <row r="8" ht="35" customHeight="1">
      <c r="A8" s="24" t="inlineStr"/>
      <c r="B8" s="24" t="inlineStr"/>
      <c r="C8" s="24" t="inlineStr"/>
      <c r="D8" s="24" t="inlineStr"/>
    </row>
    <row r="9" ht="35" customHeight="1">
      <c r="A9" s="14" t="inlineStr"/>
      <c r="B9" s="14" t="inlineStr"/>
      <c r="C9" s="14" t="inlineStr"/>
      <c r="D9" s="14" t="inlineStr"/>
    </row>
    <row r="10" ht="35" customHeight="1">
      <c r="A10" s="24" t="inlineStr"/>
      <c r="B10" s="24" t="inlineStr"/>
      <c r="C10" s="24" t="inlineStr"/>
      <c r="D10" s="24" t="inlineStr"/>
    </row>
    <row r="11" ht="35" customHeight="1">
      <c r="A11" s="14" t="inlineStr"/>
      <c r="B11" s="14" t="inlineStr"/>
      <c r="C11" s="14" t="inlineStr"/>
      <c r="D11" s="14" t="inlineStr"/>
    </row>
    <row r="12" ht="35" customHeight="1">
      <c r="A12" s="24" t="inlineStr"/>
      <c r="B12" s="24" t="inlineStr"/>
      <c r="C12" s="24" t="inlineStr"/>
      <c r="D12" s="24" t="inlineStr"/>
    </row>
    <row r="13" ht="35" customHeight="1">
      <c r="A13" s="14" t="inlineStr"/>
      <c r="B13" s="14" t="inlineStr"/>
      <c r="C13" s="14" t="inlineStr"/>
      <c r="D13" s="14" t="inlineStr"/>
    </row>
    <row r="14" ht="35" customHeight="1">
      <c r="A14" s="24" t="inlineStr"/>
      <c r="B14" s="24" t="inlineStr"/>
      <c r="C14" s="24" t="inlineStr"/>
      <c r="D14" s="24" t="inlineStr"/>
    </row>
    <row r="15" ht="35" customHeight="1">
      <c r="A15" s="14" t="inlineStr"/>
      <c r="B15" s="14" t="inlineStr"/>
      <c r="C15" s="14" t="inlineStr"/>
      <c r="D15" s="14" t="inlineStr"/>
    </row>
    <row r="16" ht="35" customHeight="1">
      <c r="A16" s="24" t="inlineStr"/>
      <c r="B16" s="24" t="inlineStr"/>
      <c r="C16" s="24" t="inlineStr"/>
      <c r="D16" s="24" t="inlineStr"/>
    </row>
    <row r="17" ht="35" customHeight="1">
      <c r="A17" s="14" t="inlineStr"/>
      <c r="B17" s="14" t="inlineStr"/>
      <c r="C17" s="14" t="inlineStr"/>
      <c r="D17" s="14" t="inlineStr"/>
    </row>
    <row r="18" ht="35" customHeight="1">
      <c r="A18" s="24" t="inlineStr"/>
      <c r="B18" s="24" t="inlineStr"/>
      <c r="C18" s="24" t="inlineStr"/>
      <c r="D18" s="24" t="inlineStr"/>
    </row>
    <row r="19" ht="35" customHeight="1">
      <c r="A19" s="14" t="inlineStr"/>
      <c r="B19" s="14" t="inlineStr"/>
      <c r="C19" s="14" t="inlineStr"/>
      <c r="D19" s="14" t="inlineStr"/>
    </row>
    <row r="20" ht="35" customHeight="1">
      <c r="A20" s="24" t="inlineStr"/>
      <c r="B20" s="24" t="inlineStr"/>
      <c r="C20" s="24" t="inlineStr"/>
      <c r="D20" s="24" t="inlineStr"/>
    </row>
    <row r="21" ht="35" customHeight="1">
      <c r="A21" s="14" t="inlineStr"/>
      <c r="B21" s="14" t="inlineStr"/>
      <c r="C21" s="14" t="inlineStr"/>
      <c r="D21" s="14" t="inlineStr"/>
    </row>
    <row r="22" ht="35" customHeight="1">
      <c r="A22" s="24" t="inlineStr"/>
      <c r="B22" s="24" t="inlineStr"/>
      <c r="C22" s="24" t="inlineStr"/>
      <c r="D22" s="24" t="inlineStr"/>
    </row>
    <row r="23" ht="35" customHeight="1">
      <c r="A23" s="14" t="inlineStr"/>
      <c r="B23" s="14" t="inlineStr"/>
      <c r="C23" s="14" t="inlineStr"/>
      <c r="D23" s="14" t="inlineStr"/>
    </row>
    <row r="24" ht="35" customHeight="1">
      <c r="A24" s="24" t="inlineStr"/>
      <c r="B24" s="24" t="inlineStr"/>
      <c r="C24" s="24" t="inlineStr"/>
      <c r="D24" s="24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CHECKLIST DAS FASES DO INVESTIDOR</t>
        </is>
      </c>
    </row>
    <row r="3">
      <c r="A3" s="25" t="inlineStr">
        <is>
          <t>FASE 1 - Primeiras 2 Semanas</t>
        </is>
      </c>
    </row>
    <row r="4">
      <c r="A4" t="inlineStr">
        <is>
          <t>[ ] Assistir 3 vídeos do Me Poupe ou Primo Rico</t>
        </is>
      </c>
    </row>
    <row r="5">
      <c r="A5" t="inlineStr">
        <is>
          <t>[ ] Criar conta no Status Invest</t>
        </is>
      </c>
    </row>
    <row r="6">
      <c r="A6" t="inlineStr">
        <is>
          <t>[ ] Escolher 3 empresas para acompanhar</t>
        </is>
      </c>
    </row>
    <row r="7">
      <c r="A7" t="inlineStr">
        <is>
          <t>[ ] Anotar por que escolheu essas empresas</t>
        </is>
      </c>
    </row>
    <row r="9">
      <c r="A9" s="10" t="inlineStr">
        <is>
          <t>FASE 2 - Mês 1</t>
        </is>
      </c>
    </row>
    <row r="10">
      <c r="A10" t="inlineStr">
        <is>
          <t>[ ] Primeiro investimento: R$ 30-50 no Tesouro Selic</t>
        </is>
      </c>
    </row>
    <row r="11">
      <c r="A11" t="inlineStr">
        <is>
          <t>[ ] Olhar rendimento todo dia</t>
        </is>
      </c>
    </row>
    <row r="12">
      <c r="A12" t="inlineStr">
        <is>
          <t>[ ] Acompanhar as 3 empresas escolhidas</t>
        </is>
      </c>
    </row>
    <row r="13">
      <c r="A13" t="inlineStr">
        <is>
          <t>[ ] Anotar aprendizados da semana</t>
        </is>
      </c>
    </row>
    <row r="15">
      <c r="A15" s="26" t="inlineStr">
        <is>
          <t>FASE 3 - Meses 2-3</t>
        </is>
      </c>
    </row>
    <row r="16">
      <c r="A16" t="inlineStr">
        <is>
          <t>[ ] Continuar aportando R$ 50/mês</t>
        </is>
      </c>
    </row>
    <row r="17">
      <c r="A17" t="inlineStr">
        <is>
          <t>[ ] Simular compra de ações (carteira virtual)</t>
        </is>
      </c>
    </row>
    <row r="18">
      <c r="A18" t="inlineStr">
        <is>
          <t>[ ] Entender por que ações sobem/descem</t>
        </is>
      </c>
    </row>
    <row r="19">
      <c r="A19" t="inlineStr">
        <is>
          <t>[ ] Pesquisar sobre FIIs</t>
        </is>
      </c>
    </row>
    <row r="21">
      <c r="A21" s="27" t="inlineStr">
        <is>
          <t>FASE 4 - Mês 4+</t>
        </is>
      </c>
    </row>
    <row r="22">
      <c r="A22" t="inlineStr">
        <is>
          <t>[ ] Comprar primeira ação REAL</t>
        </is>
      </c>
    </row>
    <row r="23">
      <c r="A23" t="inlineStr">
        <is>
          <t>[ ] Acompanhar dividendos</t>
        </is>
      </c>
    </row>
    <row r="24">
      <c r="A24" t="inlineStr">
        <is>
          <t>[ ] Ter 2-3 tipos de investimento</t>
        </is>
      </c>
    </row>
    <row r="25">
      <c r="A25" t="inlineStr">
        <is>
          <t>[ ] Ensinar um amigo!</t>
        </is>
      </c>
    </row>
  </sheetData>
  <mergeCells count="21">
    <mergeCell ref="A25:C25"/>
    <mergeCell ref="A18:C18"/>
    <mergeCell ref="A3:C3"/>
    <mergeCell ref="A21:C21"/>
    <mergeCell ref="A12:C12"/>
    <mergeCell ref="A5:C5"/>
    <mergeCell ref="A23:C23"/>
    <mergeCell ref="A22:C22"/>
    <mergeCell ref="A17:C17"/>
    <mergeCell ref="A4:C4"/>
    <mergeCell ref="A10:C10"/>
    <mergeCell ref="A13:C13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2026-03-27T16:52:03Z</dcterms:created>
  <dcterms:modified xmlns:dcterms="http://purl.org/dc/terms/" xmlns:xsi="http://www.w3.org/2001/XMLSchema-instance" xsi:type="dcterms:W3CDTF">2026-03-27T16:52:03Z</dcterms:modified>
</cp:coreProperties>
</file>